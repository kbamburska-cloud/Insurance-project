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764785b0c93dfa/Dokumenty/sql/p1/"/>
    </mc:Choice>
  </mc:AlternateContent>
  <xr:revisionPtr revIDLastSave="14" documentId="8_{5603539C-4E2C-45F9-85F8-7F4D016B2D73}" xr6:coauthVersionLast="47" xr6:coauthVersionMax="47" xr10:uidLastSave="{61C827CA-FBCD-42DD-8CC4-CBDA6717D0CB}"/>
  <bookViews>
    <workbookView xWindow="-120" yWindow="-120" windowWidth="29040" windowHeight="15720" tabRatio="694" activeTab="3" xr2:uid="{08CFE9DF-6BA8-44DB-BAEA-E6EC148401AC}"/>
  </bookViews>
  <sheets>
    <sheet name="loss_ratio_by_segment" sheetId="2" r:id="rId1"/>
    <sheet name="loss_ratio_by_band" sheetId="3" r:id="rId2"/>
    <sheet name="high_risk_policies" sheetId="4" r:id="rId3"/>
    <sheet name="Dashboard" sheetId="1" r:id="rId4"/>
  </sheets>
  <definedNames>
    <definedName name="ExternalData_1" localSheetId="3" hidden="1">Dashboard!$A$7:$D$10</definedName>
    <definedName name="ExternalData_1" localSheetId="2" hidden="1">high_risk_policies!$A$1:$E$16</definedName>
    <definedName name="ExternalData_1" localSheetId="1" hidden="1">loss_ratio_by_band!$A$1:$D$4</definedName>
    <definedName name="ExternalData_1" localSheetId="0" hidden="1">loss_ratio_by_segment!$A$1:$D$4</definedName>
    <definedName name="ExternalData_2" localSheetId="3" hidden="1">Dashboard!$F$7:$I$10</definedName>
    <definedName name="ExternalData_3" localSheetId="3" hidden="1">Dashboard!$K$7:$O$22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D79F63-C149-42CF-89D0-2F0E9785A428}" keepAlive="1" name="Query - high_risk_policies" description="Connection to the 'high_risk_policies' query in the workbook." type="5" refreshedVersion="8" background="1" saveData="1">
    <dbPr connection="Provider=Microsoft.Mashup.OleDb.1;Data Source=$Workbook$;Location=high_risk_policies;Extended Properties=&quot;&quot;" command="SELECT * FROM [high_risk_policies]"/>
  </connection>
  <connection id="2" xr16:uid="{1CADFBF1-F5A8-43D3-9AFE-8C1623FA9854}" keepAlive="1" name="Query - high_risk_policies (2)" description="Connection to the 'high_risk_policies (2)' query in the workbook." type="5" refreshedVersion="8" background="1" saveData="1">
    <dbPr connection="Provider=Microsoft.Mashup.OleDb.1;Data Source=$Workbook$;Location=&quot;high_risk_policies (2)&quot;;Extended Properties=&quot;&quot;" command="SELECT * FROM [high_risk_policies (2)]"/>
  </connection>
  <connection id="3" xr16:uid="{B96BB821-AFD8-48C6-92C5-6E9E70AF8475}" keepAlive="1" name="Query - loss_ratio_by_band" description="Connection to the 'loss_ratio_by_band' query in the workbook." type="5" refreshedVersion="8" background="1" saveData="1">
    <dbPr connection="Provider=Microsoft.Mashup.OleDb.1;Data Source=$Workbook$;Location=loss_ratio_by_band;Extended Properties=&quot;&quot;" command="SELECT * FROM [loss_ratio_by_band]"/>
  </connection>
  <connection id="4" xr16:uid="{B9981AF6-0D05-40F2-BA74-393BFD421F34}" keepAlive="1" name="Query - loss_ratio_by_band (2)" description="Connection to the 'loss_ratio_by_band (2)' query in the workbook." type="5" refreshedVersion="8" background="1" saveData="1">
    <dbPr connection="Provider=Microsoft.Mashup.OleDb.1;Data Source=$Workbook$;Location=&quot;loss_ratio_by_band (2)&quot;;Extended Properties=&quot;&quot;" command="SELECT * FROM [loss_ratio_by_band (2)]"/>
  </connection>
  <connection id="5" xr16:uid="{BFBBC5C0-1B90-48B0-82C8-E853C9EE1BF8}" keepAlive="1" name="Query - loss_ratio_by_segment" description="Connection to the 'loss_ratio_by_segment' query in the workbook." type="5" refreshedVersion="8" background="1" saveData="1">
    <dbPr connection="Provider=Microsoft.Mashup.OleDb.1;Data Source=$Workbook$;Location=loss_ratio_by_segment;Extended Properties=&quot;&quot;" command="SELECT * FROM [loss_ratio_by_segment]"/>
  </connection>
  <connection id="6" xr16:uid="{D02C3AE4-4410-41C1-A7F1-68713378833E}" keepAlive="1" name="Query - loss_ratio_by_segment (2)" description="Connection to the 'loss_ratio_by_segment (2)' query in the workbook." type="5" refreshedVersion="8" background="1" saveData="1">
    <dbPr connection="Provider=Microsoft.Mashup.OleDb.1;Data Source=$Workbook$;Location=&quot;loss_ratio_by_segment (2)&quot;;Extended Properties=&quot;&quot;" command="SELECT * FROM [loss_ratio_by_segment (2)]"/>
  </connection>
</connections>
</file>

<file path=xl/sharedStrings.xml><?xml version="1.0" encoding="utf-8"?>
<sst xmlns="http://schemas.openxmlformats.org/spreadsheetml/2006/main" count="162" uniqueCount="30">
  <si>
    <t>segment</t>
  </si>
  <si>
    <t>total_claims</t>
  </si>
  <si>
    <t>total_premium</t>
  </si>
  <si>
    <t>loss_ratio</t>
  </si>
  <si>
    <t>C</t>
  </si>
  <si>
    <t>B</t>
  </si>
  <si>
    <t>A</t>
  </si>
  <si>
    <t>premium_band</t>
  </si>
  <si>
    <t>HIGH</t>
  </si>
  <si>
    <t>MEDIUM</t>
  </si>
  <si>
    <t>LOW</t>
  </si>
  <si>
    <t>policy_id</t>
  </si>
  <si>
    <t>premium</t>
  </si>
  <si>
    <t>case</t>
  </si>
  <si>
    <t>high_risk</t>
  </si>
  <si>
    <t>ok</t>
  </si>
  <si>
    <t>Row Labels</t>
  </si>
  <si>
    <t>Grand Total</t>
  </si>
  <si>
    <t>Sum of total_premium</t>
  </si>
  <si>
    <t>Sum of total_claims</t>
  </si>
  <si>
    <t>Sum of Loss Ratio</t>
  </si>
  <si>
    <t>Sum of premium</t>
  </si>
  <si>
    <t>Loss ratio by segment</t>
  </si>
  <si>
    <t>Loss ratio by band</t>
  </si>
  <si>
    <t>High risk Policies</t>
  </si>
  <si>
    <t>Count of policy_id</t>
  </si>
  <si>
    <t>Segment</t>
  </si>
  <si>
    <t>Total Premium</t>
  </si>
  <si>
    <t>Total Claims</t>
  </si>
  <si>
    <t>Portfolio Loss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</si>
</sst>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3" fillId="0" borderId="0" xfId="0" applyFont="1" applyAlignment="1">
      <alignment horizontal="left"/>
    </xf>
    <xf numFmtId="44" fontId="4" fillId="0" borderId="0" xfId="0" applyNumberFormat="1" applyFont="1" applyAlignment="1">
      <alignment horizontal="right"/>
    </xf>
    <xf numFmtId="9" fontId="4" fillId="0" borderId="0" xfId="1" applyFont="1" applyAlignment="1">
      <alignment horizontal="right"/>
    </xf>
  </cellXfs>
  <cellStyles count="2">
    <cellStyle name="Normal" xfId="0" builtinId="0"/>
    <cellStyle name="Per cent" xfId="1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24994659260841701"/>
      </font>
    </dxf>
    <dxf>
      <numFmt numFmtId="0" formatCode="General"/>
    </dxf>
    <dxf>
      <numFmt numFmtId="0" formatCode="General"/>
    </dxf>
    <dxf>
      <numFmt numFmtId="35" formatCode="_-* #,##0.00_-;\-* #,##0.00_-;_-* &quot;-&quot;??_-;_-@_-"/>
    </dxf>
    <dxf>
      <numFmt numFmtId="164" formatCode="0.0%"/>
    </dxf>
    <dxf>
      <numFmt numFmtId="0" formatCode="General"/>
    </dxf>
    <dxf>
      <numFmt numFmtId="35" formatCode="_-* #,##0.00_-;\-* #,##0.00_-;_-* &quot;-&quot;??_-;_-@_-"/>
    </dxf>
    <dxf>
      <numFmt numFmtId="164" formatCode="0.0%"/>
    </dxf>
    <dxf>
      <numFmt numFmtId="0" formatCode="General"/>
    </dxf>
    <dxf>
      <numFmt numFmtId="164" formatCode="0.0%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164" formatCode="0.0%"/>
    </dxf>
    <dxf>
      <numFmt numFmtId="0" formatCode="General"/>
    </dxf>
    <dxf>
      <numFmt numFmtId="164" formatCode="0.0%"/>
    </dxf>
    <dxf>
      <numFmt numFmtId="0" formatCode="General"/>
    </dxf>
    <dxf>
      <numFmt numFmtId="35" formatCode="_-* #,##0.00_-;\-* #,##0.00_-;_-* &quot;-&quot;??_-;_-@_-"/>
    </dxf>
    <dxf>
      <numFmt numFmtId="164" formatCode="0.0%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[Insurance_Dashboard.xlsx]loss_ratio_by_segment!PivotTable1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loss_ratio_by_segment!$B$6</c:f>
              <c:strCache>
                <c:ptCount val="1"/>
                <c:pt idx="0">
                  <c:v>Sum of total_premium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loss_ratio_by_segment!$A$7:$A$10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loss_ratio_by_segment!$B$7:$B$10</c:f>
              <c:numCache>
                <c:formatCode>_(* #,##0.00_);_(* \(#,##0.00\);_(* "-"??_);_(@_)</c:formatCode>
                <c:ptCount val="3"/>
                <c:pt idx="0">
                  <c:v>940</c:v>
                </c:pt>
                <c:pt idx="1">
                  <c:v>2600</c:v>
                </c:pt>
                <c:pt idx="2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D-4A7C-9EA3-A0EBC973A83C}"/>
            </c:ext>
          </c:extLst>
        </c:ser>
        <c:ser>
          <c:idx val="1"/>
          <c:order val="1"/>
          <c:tx>
            <c:strRef>
              <c:f>loss_ratio_by_segment!$C$6</c:f>
              <c:strCache>
                <c:ptCount val="1"/>
                <c:pt idx="0">
                  <c:v>Sum of total_claims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loss_ratio_by_segment!$A$7:$A$10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loss_ratio_by_segment!$C$7:$C$10</c:f>
              <c:numCache>
                <c:formatCode>_(* #,##0.00_);_(* \(#,##0.00\);_(* "-"??_);_(@_)</c:formatCode>
                <c:ptCount val="3"/>
                <c:pt idx="0">
                  <c:v>580</c:v>
                </c:pt>
                <c:pt idx="1">
                  <c:v>2600</c:v>
                </c:pt>
                <c:pt idx="2">
                  <c:v>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7D-4A7C-9EA3-A0EBC973A83C}"/>
            </c:ext>
          </c:extLst>
        </c:ser>
        <c:ser>
          <c:idx val="2"/>
          <c:order val="2"/>
          <c:tx>
            <c:strRef>
              <c:f>loss_ratio_by_segment!$D$6</c:f>
              <c:strCache>
                <c:ptCount val="1"/>
                <c:pt idx="0">
                  <c:v>Sum of Loss Ratio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loss_ratio_by_segment!$A$7:$A$10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loss_ratio_by_segment!$D$7:$D$10</c:f>
              <c:numCache>
                <c:formatCode>0.0%</c:formatCode>
                <c:ptCount val="3"/>
                <c:pt idx="0">
                  <c:v>0.61702127659574468</c:v>
                </c:pt>
                <c:pt idx="1">
                  <c:v>1</c:v>
                </c:pt>
                <c:pt idx="2">
                  <c:v>1.5588235294117647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7D-4A7C-9EA3-A0EBC973A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3705327"/>
        <c:axId val="783707247"/>
      </c:barChart>
      <c:catAx>
        <c:axId val="783705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07247"/>
        <c:crosses val="autoZero"/>
        <c:auto val="1"/>
        <c:lblAlgn val="ctr"/>
        <c:lblOffset val="100"/>
        <c:noMultiLvlLbl val="0"/>
      </c:catAx>
      <c:valAx>
        <c:axId val="78370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0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  <a:r>
              <a:rPr lang="en-US" baseline="0"/>
              <a:t> </a:t>
            </a:r>
            <a:r>
              <a:rPr lang="en-US"/>
              <a:t>Ratio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loss_ratio_by_segment!$D$1</c:f>
              <c:strCache>
                <c:ptCount val="1"/>
                <c:pt idx="0">
                  <c:v>loss_ratio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loss_ratio_by_segment!$A$2:$A$4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(loss_ratio_by_segment!$D$2,loss_ratio_by_segment!$D$3,loss_ratio_by_segment!$D$4)</c:f>
              <c:numCache>
                <c:formatCode>0.0%</c:formatCode>
                <c:ptCount val="3"/>
                <c:pt idx="0">
                  <c:v>0.61702127659574468</c:v>
                </c:pt>
                <c:pt idx="1">
                  <c:v>1</c:v>
                </c:pt>
                <c:pt idx="2">
                  <c:v>1.5588235294117647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E-45DA-8594-C0D7F7611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2511391"/>
        <c:axId val="822511871"/>
      </c:barChart>
      <c:catAx>
        <c:axId val="82251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511871"/>
        <c:crosses val="autoZero"/>
        <c:auto val="1"/>
        <c:lblAlgn val="ctr"/>
        <c:lblOffset val="100"/>
        <c:noMultiLvlLbl val="0"/>
      </c:catAx>
      <c:valAx>
        <c:axId val="82251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51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[Insurance_Dashboard.xlsx]loss_ratio_by_band!PivotTable2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loss_ratio_by_band!$B$6</c:f>
              <c:strCache>
                <c:ptCount val="1"/>
                <c:pt idx="0">
                  <c:v>Sum of total_premium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loss_ratio_by_band!$A$7:$A$10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loss_ratio_by_band!$B$7:$B$10</c:f>
              <c:numCache>
                <c:formatCode>_(* #,##0.00_);_(* \(#,##0.00\);_(* "-"??_);_(@_)</c:formatCode>
                <c:ptCount val="3"/>
                <c:pt idx="0">
                  <c:v>4000</c:v>
                </c:pt>
                <c:pt idx="1">
                  <c:v>940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B-4D68-A555-6BB20A3408B9}"/>
            </c:ext>
          </c:extLst>
        </c:ser>
        <c:ser>
          <c:idx val="1"/>
          <c:order val="1"/>
          <c:tx>
            <c:strRef>
              <c:f>loss_ratio_by_band!$C$6</c:f>
              <c:strCache>
                <c:ptCount val="1"/>
                <c:pt idx="0">
                  <c:v>Sum of total_claims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loss_ratio_by_band!$A$7:$A$10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loss_ratio_by_band!$C$7:$C$10</c:f>
              <c:numCache>
                <c:formatCode>_(* #,##0.00_);_(* \(#,##0.00\);_(* "-"??_);_(@_)</c:formatCode>
                <c:ptCount val="3"/>
                <c:pt idx="0">
                  <c:v>6200</c:v>
                </c:pt>
                <c:pt idx="1">
                  <c:v>580</c:v>
                </c:pt>
                <c:pt idx="2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B-4D68-A555-6BB20A3408B9}"/>
            </c:ext>
          </c:extLst>
        </c:ser>
        <c:ser>
          <c:idx val="2"/>
          <c:order val="2"/>
          <c:tx>
            <c:strRef>
              <c:f>loss_ratio_by_band!$D$6</c:f>
              <c:strCache>
                <c:ptCount val="1"/>
                <c:pt idx="0">
                  <c:v>Sum of Loss Ratio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loss_ratio_by_band!$A$7:$A$10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loss_ratio_by_band!$D$7:$D$10</c:f>
              <c:numCache>
                <c:formatCode>0.0%</c:formatCode>
                <c:ptCount val="3"/>
                <c:pt idx="0">
                  <c:v>1.55</c:v>
                </c:pt>
                <c:pt idx="1">
                  <c:v>0.61702127659574468</c:v>
                </c:pt>
                <c:pt idx="2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B-4D68-A555-6BB20A340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984192"/>
        <c:axId val="1973993312"/>
      </c:barChart>
      <c:catAx>
        <c:axId val="197398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93312"/>
        <c:crosses val="autoZero"/>
        <c:auto val="1"/>
        <c:lblAlgn val="ctr"/>
        <c:lblOffset val="100"/>
        <c:noMultiLvlLbl val="0"/>
      </c:catAx>
      <c:valAx>
        <c:axId val="19739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8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  <a:r>
              <a:rPr lang="en-US" baseline="0"/>
              <a:t> R</a:t>
            </a:r>
            <a:r>
              <a:rPr lang="en-US"/>
              <a:t>atio by Premium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loss_ratio_by_band!$A$2:$A$4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loss_ratio_by_band!$A$2:$A$4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loss_ratio_by_band!$D$2:$D$4</c:f>
              <c:numCache>
                <c:formatCode>0.0%</c:formatCode>
                <c:ptCount val="3"/>
                <c:pt idx="0">
                  <c:v>1.55</c:v>
                </c:pt>
                <c:pt idx="1">
                  <c:v>0.85</c:v>
                </c:pt>
                <c:pt idx="2">
                  <c:v>0.61702127659574468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A-45E4-8E84-4D76A450E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160480"/>
        <c:axId val="1560144160"/>
      </c:barChart>
      <c:catAx>
        <c:axId val="156016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44160"/>
        <c:crosses val="autoZero"/>
        <c:auto val="1"/>
        <c:lblAlgn val="ctr"/>
        <c:lblOffset val="100"/>
        <c:noMultiLvlLbl val="0"/>
      </c:catAx>
      <c:valAx>
        <c:axId val="15601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6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High Risk Policies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high_risk_policies!$B$24</c:f>
              <c:strCache>
                <c:ptCount val="1"/>
                <c:pt idx="0">
                  <c:v>Count of policy_id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high_risk_policies!$A$25:$A$28</c15:sqref>
                  </c15:fullRef>
                </c:ext>
              </c:extLst>
              <c:f>high_risk_policies!$A$25:$A$27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high_risk_policies!$B$25:$B$28</c15:sqref>
                  </c15:fullRef>
                </c:ext>
              </c:extLst>
              <c:f>high_risk_policies!$B$25:$B$27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7-4497-85A5-395E796E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4062432"/>
        <c:axId val="1974062912"/>
      </c:barChart>
      <c:catAx>
        <c:axId val="197406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62912"/>
        <c:crosses val="autoZero"/>
        <c:auto val="1"/>
        <c:lblAlgn val="ctr"/>
        <c:lblOffset val="100"/>
        <c:noMultiLvlLbl val="0"/>
      </c:catAx>
      <c:valAx>
        <c:axId val="197406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6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[Insurance_Dashboard.xlsx]loss_ratio_by_segment!PivotTable1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loss_ratio_by_segment!$B$6</c:f>
              <c:strCache>
                <c:ptCount val="1"/>
                <c:pt idx="0">
                  <c:v>Sum of total_premium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loss_ratio_by_segment!$A$7:$A$10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loss_ratio_by_segment!$B$7:$B$10</c:f>
              <c:numCache>
                <c:formatCode>_(* #,##0.00_);_(* \(#,##0.00\);_(* "-"??_);_(@_)</c:formatCode>
                <c:ptCount val="3"/>
                <c:pt idx="0">
                  <c:v>940</c:v>
                </c:pt>
                <c:pt idx="1">
                  <c:v>2600</c:v>
                </c:pt>
                <c:pt idx="2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2-427F-B9B4-5EDC9E4FAD21}"/>
            </c:ext>
          </c:extLst>
        </c:ser>
        <c:ser>
          <c:idx val="1"/>
          <c:order val="1"/>
          <c:tx>
            <c:strRef>
              <c:f>loss_ratio_by_segment!$C$6</c:f>
              <c:strCache>
                <c:ptCount val="1"/>
                <c:pt idx="0">
                  <c:v>Sum of total_claims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loss_ratio_by_segment!$A$7:$A$10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loss_ratio_by_segment!$C$7:$C$10</c:f>
              <c:numCache>
                <c:formatCode>_(* #,##0.00_);_(* \(#,##0.00\);_(* "-"??_);_(@_)</c:formatCode>
                <c:ptCount val="3"/>
                <c:pt idx="0">
                  <c:v>580</c:v>
                </c:pt>
                <c:pt idx="1">
                  <c:v>2600</c:v>
                </c:pt>
                <c:pt idx="2">
                  <c:v>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2-427F-B9B4-5EDC9E4FAD21}"/>
            </c:ext>
          </c:extLst>
        </c:ser>
        <c:ser>
          <c:idx val="2"/>
          <c:order val="2"/>
          <c:tx>
            <c:strRef>
              <c:f>loss_ratio_by_segment!$D$6</c:f>
              <c:strCache>
                <c:ptCount val="1"/>
                <c:pt idx="0">
                  <c:v>Sum of Loss Ratio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loss_ratio_by_segment!$A$7:$A$10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loss_ratio_by_segment!$D$7:$D$10</c:f>
              <c:numCache>
                <c:formatCode>0.0%</c:formatCode>
                <c:ptCount val="3"/>
                <c:pt idx="0">
                  <c:v>0.61702127659574468</c:v>
                </c:pt>
                <c:pt idx="1">
                  <c:v>1</c:v>
                </c:pt>
                <c:pt idx="2">
                  <c:v>1.5588235294117647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92-427F-B9B4-5EDC9E4FA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3705327"/>
        <c:axId val="783707247"/>
      </c:barChart>
      <c:catAx>
        <c:axId val="783705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07247"/>
        <c:crosses val="autoZero"/>
        <c:auto val="1"/>
        <c:lblAlgn val="ctr"/>
        <c:lblOffset val="100"/>
        <c:noMultiLvlLbl val="0"/>
      </c:catAx>
      <c:valAx>
        <c:axId val="78370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0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  <a:r>
              <a:rPr lang="en-US" baseline="0"/>
              <a:t> </a:t>
            </a:r>
            <a:r>
              <a:rPr lang="en-US"/>
              <a:t>Ratio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loss_ratio_by_segment!$D$1</c:f>
              <c:strCache>
                <c:ptCount val="1"/>
                <c:pt idx="0">
                  <c:v>loss_ratio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loss_ratio_by_segment!$A$2:$A$4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(loss_ratio_by_segment!$D$2,loss_ratio_by_segment!$D$3,loss_ratio_by_segment!$D$4)</c:f>
              <c:numCache>
                <c:formatCode>0.0%</c:formatCode>
                <c:ptCount val="3"/>
                <c:pt idx="0">
                  <c:v>0.61702127659574468</c:v>
                </c:pt>
                <c:pt idx="1">
                  <c:v>1</c:v>
                </c:pt>
                <c:pt idx="2">
                  <c:v>1.5588235294117647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E-408E-A2CE-9E708CEB0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2511391"/>
        <c:axId val="822511871"/>
      </c:barChart>
      <c:catAx>
        <c:axId val="82251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511871"/>
        <c:crosses val="autoZero"/>
        <c:auto val="1"/>
        <c:lblAlgn val="ctr"/>
        <c:lblOffset val="100"/>
        <c:noMultiLvlLbl val="0"/>
      </c:catAx>
      <c:valAx>
        <c:axId val="82251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51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[Insurance_Dashboard.xlsx]loss_ratio_by_band!PivotTable2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loss_ratio_by_band!$B$6</c:f>
              <c:strCache>
                <c:ptCount val="1"/>
                <c:pt idx="0">
                  <c:v>Sum of total_premium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loss_ratio_by_band!$A$7:$A$10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loss_ratio_by_band!$B$7:$B$10</c:f>
              <c:numCache>
                <c:formatCode>_(* #,##0.00_);_(* \(#,##0.00\);_(* "-"??_);_(@_)</c:formatCode>
                <c:ptCount val="3"/>
                <c:pt idx="0">
                  <c:v>4000</c:v>
                </c:pt>
                <c:pt idx="1">
                  <c:v>940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3-40A3-8C28-975F67637AB8}"/>
            </c:ext>
          </c:extLst>
        </c:ser>
        <c:ser>
          <c:idx val="1"/>
          <c:order val="1"/>
          <c:tx>
            <c:strRef>
              <c:f>loss_ratio_by_band!$C$6</c:f>
              <c:strCache>
                <c:ptCount val="1"/>
                <c:pt idx="0">
                  <c:v>Sum of total_claims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loss_ratio_by_band!$A$7:$A$10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loss_ratio_by_band!$C$7:$C$10</c:f>
              <c:numCache>
                <c:formatCode>_(* #,##0.00_);_(* \(#,##0.00\);_(* "-"??_);_(@_)</c:formatCode>
                <c:ptCount val="3"/>
                <c:pt idx="0">
                  <c:v>6200</c:v>
                </c:pt>
                <c:pt idx="1">
                  <c:v>580</c:v>
                </c:pt>
                <c:pt idx="2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23-40A3-8C28-975F67637AB8}"/>
            </c:ext>
          </c:extLst>
        </c:ser>
        <c:ser>
          <c:idx val="2"/>
          <c:order val="2"/>
          <c:tx>
            <c:strRef>
              <c:f>loss_ratio_by_band!$D$6</c:f>
              <c:strCache>
                <c:ptCount val="1"/>
                <c:pt idx="0">
                  <c:v>Sum of Loss Ratio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loss_ratio_by_band!$A$7:$A$10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loss_ratio_by_band!$D$7:$D$10</c:f>
              <c:numCache>
                <c:formatCode>0.0%</c:formatCode>
                <c:ptCount val="3"/>
                <c:pt idx="0">
                  <c:v>1.55</c:v>
                </c:pt>
                <c:pt idx="1">
                  <c:v>0.61702127659574468</c:v>
                </c:pt>
                <c:pt idx="2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23-40A3-8C28-975F67637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984192"/>
        <c:axId val="1973993312"/>
      </c:barChart>
      <c:catAx>
        <c:axId val="197398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93312"/>
        <c:crosses val="autoZero"/>
        <c:auto val="1"/>
        <c:lblAlgn val="ctr"/>
        <c:lblOffset val="100"/>
        <c:noMultiLvlLbl val="0"/>
      </c:catAx>
      <c:valAx>
        <c:axId val="19739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8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  <a:r>
              <a:rPr lang="en-US" baseline="0"/>
              <a:t> R</a:t>
            </a:r>
            <a:r>
              <a:rPr lang="en-US"/>
              <a:t>atio by Premium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loss_ratio_by_band!$A$2:$A$4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loss_ratio_by_band!$A$2:$A$4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loss_ratio_by_band!$D$2:$D$4</c:f>
              <c:numCache>
                <c:formatCode>0.0%</c:formatCode>
                <c:ptCount val="3"/>
                <c:pt idx="0">
                  <c:v>1.55</c:v>
                </c:pt>
                <c:pt idx="1">
                  <c:v>0.85</c:v>
                </c:pt>
                <c:pt idx="2">
                  <c:v>0.61702127659574468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8-46BE-A475-A807A7010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160480"/>
        <c:axId val="1560144160"/>
      </c:barChart>
      <c:catAx>
        <c:axId val="156016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44160"/>
        <c:crosses val="autoZero"/>
        <c:auto val="1"/>
        <c:lblAlgn val="ctr"/>
        <c:lblOffset val="100"/>
        <c:noMultiLvlLbl val="0"/>
      </c:catAx>
      <c:valAx>
        <c:axId val="15601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6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High Risk Policies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high_risk_policies!$B$24</c:f>
              <c:strCache>
                <c:ptCount val="1"/>
                <c:pt idx="0">
                  <c:v>Count of policy_id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high_risk_policies!$A$25:$A$28</c15:sqref>
                  </c15:fullRef>
                </c:ext>
              </c:extLst>
              <c:f>high_risk_policies!$A$25:$A$27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high_risk_policies!$B$25:$B$28</c15:sqref>
                  </c15:fullRef>
                </c:ext>
              </c:extLst>
              <c:f>high_risk_policies!$B$25:$B$27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9-4E60-BB73-64BDD6C3C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4062432"/>
        <c:axId val="1974062912"/>
      </c:barChart>
      <c:catAx>
        <c:axId val="197406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62912"/>
        <c:crosses val="autoZero"/>
        <c:auto val="1"/>
        <c:lblAlgn val="ctr"/>
        <c:lblOffset val="100"/>
        <c:noMultiLvlLbl val="0"/>
      </c:catAx>
      <c:valAx>
        <c:axId val="197406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6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4762</xdr:rowOff>
    </xdr:from>
    <xdr:to>
      <xdr:col>3</xdr:col>
      <xdr:colOff>1047750</xdr:colOff>
      <xdr:row>25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C96FE-D345-CCC2-15A9-994721E5A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42862</xdr:rowOff>
    </xdr:from>
    <xdr:to>
      <xdr:col>3</xdr:col>
      <xdr:colOff>1047750</xdr:colOff>
      <xdr:row>40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C494B9-7663-2C13-9004-77B487AA0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10</xdr:row>
      <xdr:rowOff>176212</xdr:rowOff>
    </xdr:from>
    <xdr:to>
      <xdr:col>4</xdr:col>
      <xdr:colOff>9525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64EFA9-A25D-A351-CED5-D77536565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190499</xdr:rowOff>
    </xdr:from>
    <xdr:to>
      <xdr:col>4</xdr:col>
      <xdr:colOff>0</xdr:colOff>
      <xdr:row>41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0CC3B1-AA48-7EB8-3AA1-BD47BA6DB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28</xdr:row>
      <xdr:rowOff>157162</xdr:rowOff>
    </xdr:from>
    <xdr:to>
      <xdr:col>5</xdr:col>
      <xdr:colOff>171450</xdr:colOff>
      <xdr:row>41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3E6BA3-F4B2-5917-F807-C11F6565C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4762</xdr:rowOff>
    </xdr:from>
    <xdr:to>
      <xdr:col>3</xdr:col>
      <xdr:colOff>1047750</xdr:colOff>
      <xdr:row>31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2A7A2-EFDA-4783-88A7-B7AAE3001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42862</xdr:rowOff>
    </xdr:from>
    <xdr:to>
      <xdr:col>3</xdr:col>
      <xdr:colOff>1047750</xdr:colOff>
      <xdr:row>46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1C4F9D-6991-435E-8FE4-A77F289E4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9524</xdr:colOff>
      <xdr:row>16</xdr:row>
      <xdr:rowOff>176212</xdr:rowOff>
    </xdr:from>
    <xdr:to>
      <xdr:col>9</xdr:col>
      <xdr:colOff>9525</xdr:colOff>
      <xdr:row>31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F727E5-E811-48A5-BE50-BD8BD6863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31</xdr:row>
      <xdr:rowOff>190499</xdr:rowOff>
    </xdr:from>
    <xdr:to>
      <xdr:col>9</xdr:col>
      <xdr:colOff>0</xdr:colOff>
      <xdr:row>47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FF8454-C803-4F31-BCA2-C7F20DA68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9525</xdr:colOff>
      <xdr:row>34</xdr:row>
      <xdr:rowOff>157162</xdr:rowOff>
    </xdr:from>
    <xdr:to>
      <xdr:col>15</xdr:col>
      <xdr:colOff>171450</xdr:colOff>
      <xdr:row>47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C6B141-03D6-4F99-9564-C6169879D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bamb" refreshedDate="46117.793199768515" createdVersion="8" refreshedVersion="8" minRefreshableVersion="3" recordCount="3" xr:uid="{57BD05B2-8E5C-4911-8F16-698966B6C240}">
  <cacheSource type="worksheet">
    <worksheetSource name="loss_ratio_by_segment"/>
  </cacheSource>
  <cacheFields count="5">
    <cacheField name="segment" numFmtId="0">
      <sharedItems count="3">
        <s v="C"/>
        <s v="B"/>
        <s v="A"/>
      </sharedItems>
    </cacheField>
    <cacheField name="total_claims" numFmtId="0">
      <sharedItems containsSemiMixedTypes="0" containsString="0" containsNumber="1" containsInteger="1" minValue="580" maxValue="5300"/>
    </cacheField>
    <cacheField name="total_premium" numFmtId="0">
      <sharedItems containsSemiMixedTypes="0" containsString="0" containsNumber="1" containsInteger="1" minValue="940" maxValue="3400"/>
    </cacheField>
    <cacheField name="loss_ratio" numFmtId="0">
      <sharedItems containsSemiMixedTypes="0" containsString="0" containsNumber="1" minValue="0.61702127659574468" maxValue="1.5588235294117647"/>
    </cacheField>
    <cacheField name="Loss Ratio" numFmtId="0" formula="total_claims/total_premium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bamb" refreshedDate="46117.795635069444" createdVersion="8" refreshedVersion="8" minRefreshableVersion="3" recordCount="3" xr:uid="{186111B1-C121-40F5-AC42-CE30325A1BA2}">
  <cacheSource type="worksheet">
    <worksheetSource name="loss_ratio_by_band"/>
  </cacheSource>
  <cacheFields count="5">
    <cacheField name="premium_band" numFmtId="0">
      <sharedItems count="3">
        <s v="HIGH"/>
        <s v="MEDIUM"/>
        <s v="LOW"/>
      </sharedItems>
    </cacheField>
    <cacheField name="total_claims" numFmtId="0">
      <sharedItems containsSemiMixedTypes="0" containsString="0" containsNumber="1" containsInteger="1" minValue="580" maxValue="6200"/>
    </cacheField>
    <cacheField name="total_premium" numFmtId="0">
      <sharedItems containsSemiMixedTypes="0" containsString="0" containsNumber="1" containsInteger="1" minValue="940" maxValue="4000"/>
    </cacheField>
    <cacheField name="loss_ratio" numFmtId="0">
      <sharedItems containsSemiMixedTypes="0" containsString="0" containsNumber="1" minValue="0.61702127659574468" maxValue="1.55"/>
    </cacheField>
    <cacheField name="Loss Ratio" numFmtId="0" formula="total_claims/total_premium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bamb" refreshedDate="46117.796888425924" createdVersion="8" refreshedVersion="8" minRefreshableVersion="3" recordCount="15" xr:uid="{3BC5AE3F-0801-47CE-BA19-7DA15420C91E}">
  <cacheSource type="worksheet">
    <worksheetSource name="high_risk_policies"/>
  </cacheSource>
  <cacheFields count="5">
    <cacheField name="policy_id" numFmtId="0">
      <sharedItems containsSemiMixedTypes="0" containsString="0" containsNumber="1" containsInteger="1" minValue="1" maxValue="15"/>
    </cacheField>
    <cacheField name="segment" numFmtId="0">
      <sharedItems count="3">
        <s v="C"/>
        <s v="B"/>
        <s v="A"/>
      </sharedItems>
    </cacheField>
    <cacheField name="premium" numFmtId="0">
      <sharedItems containsSemiMixedTypes="0" containsString="0" containsNumber="1" containsInteger="1" minValue="120" maxValue="1000"/>
    </cacheField>
    <cacheField name="total_claims" numFmtId="0">
      <sharedItems containsSemiMixedTypes="0" containsString="0" containsNumber="1" containsInteger="1" minValue="50" maxValue="2000"/>
    </cacheField>
    <cacheField name="case" numFmtId="0">
      <sharedItems count="2">
        <s v="high_risk"/>
        <s v="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5300"/>
    <n v="3400"/>
    <n v="1.5588235294117647"/>
  </r>
  <r>
    <x v="1"/>
    <n v="2600"/>
    <n v="2600"/>
    <n v="1"/>
  </r>
  <r>
    <x v="2"/>
    <n v="580"/>
    <n v="940"/>
    <n v="0.6170212765957446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6200"/>
    <n v="4000"/>
    <n v="1.55"/>
  </r>
  <r>
    <x v="1"/>
    <n v="1700"/>
    <n v="2000"/>
    <n v="0.85"/>
  </r>
  <r>
    <x v="2"/>
    <n v="580"/>
    <n v="940"/>
    <n v="0.6170212765957446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3"/>
    <x v="0"/>
    <n v="1000"/>
    <n v="2000"/>
    <x v="0"/>
  </r>
  <r>
    <n v="9"/>
    <x v="0"/>
    <n v="900"/>
    <n v="1500"/>
    <x v="0"/>
  </r>
  <r>
    <n v="5"/>
    <x v="0"/>
    <n v="800"/>
    <n v="1200"/>
    <x v="0"/>
  </r>
  <r>
    <n v="4"/>
    <x v="1"/>
    <n v="600"/>
    <n v="900"/>
    <x v="0"/>
  </r>
  <r>
    <n v="12"/>
    <x v="1"/>
    <n v="500"/>
    <n v="700"/>
    <x v="0"/>
  </r>
  <r>
    <n v="8"/>
    <x v="0"/>
    <n v="700"/>
    <n v="600"/>
    <x v="1"/>
  </r>
  <r>
    <n v="7"/>
    <x v="1"/>
    <n v="300"/>
    <n v="400"/>
    <x v="0"/>
  </r>
  <r>
    <n v="2"/>
    <x v="2"/>
    <n v="250"/>
    <n v="300"/>
    <x v="0"/>
  </r>
  <r>
    <n v="14"/>
    <x v="1"/>
    <n v="450"/>
    <n v="300"/>
    <x v="1"/>
  </r>
  <r>
    <n v="11"/>
    <x v="1"/>
    <n v="350"/>
    <n v="200"/>
    <x v="1"/>
  </r>
  <r>
    <n v="3"/>
    <x v="1"/>
    <n v="400"/>
    <n v="100"/>
    <x v="1"/>
  </r>
  <r>
    <n v="15"/>
    <x v="2"/>
    <n v="220"/>
    <n v="100"/>
    <x v="1"/>
  </r>
  <r>
    <n v="6"/>
    <x v="2"/>
    <n v="150"/>
    <n v="80"/>
    <x v="1"/>
  </r>
  <r>
    <n v="1"/>
    <x v="2"/>
    <n v="120"/>
    <n v="50"/>
    <x v="1"/>
  </r>
  <r>
    <n v="10"/>
    <x v="2"/>
    <n v="200"/>
    <n v="5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69631-9ED2-46E0-AD72-36EA53BC95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:D10" firstHeaderRow="0" firstDataRow="1" firstDataCol="1"/>
  <pivotFields count="5"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  <pivotField showAll="0"/>
    <pivotField dataField="1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premium" fld="2" baseField="0" baseItem="0"/>
    <dataField name="Sum of total_claims" fld="1" baseField="0" baseItem="0"/>
    <dataField name="Sum of Loss Ratio" fld="4" baseField="0" baseItem="0" numFmtId="164"/>
  </dataFields>
  <formats count="2">
    <format dxfId="14">
      <pivotArea outline="0" collapsedLevelsAreSubtotals="1" fieldPosition="0"/>
    </format>
    <format dxfId="13">
      <pivotArea outline="0" fieldPosition="0">
        <references count="1">
          <reference field="4294967294" count="1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B57C3-2C77-48B5-92B5-66D91686AD1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:D10" firstHeaderRow="0" firstDataRow="1" firstDataCol="1"/>
  <pivotFields count="5"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  <pivotField showAll="0"/>
    <pivotField dataField="1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premium" fld="2" baseField="0" baseItem="0" numFmtId="43"/>
    <dataField name="Sum of total_claims" fld="1" baseField="0" baseItem="0" numFmtId="43"/>
    <dataField name="Sum of Loss Ratio" fld="4" baseField="0" baseItem="0" numFmtId="164"/>
  </dataFields>
  <formats count="1">
    <format dxfId="1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F4B52-E17A-483C-B178-1C15C3425ED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8:D22" firstHeaderRow="0" firstDataRow="1" firstDataCol="1"/>
  <pivotFields count="5">
    <pivotField dataField="1" showAll="0"/>
    <pivotField axis="axisRow" showAll="0">
      <items count="4">
        <item sd="0" x="2"/>
        <item sd="0" x="1"/>
        <item sd="0" x="0"/>
        <item t="default"/>
      </items>
    </pivotField>
    <pivotField dataField="1"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1"/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olicy_id" fld="0" subtotal="count" baseField="1" baseItem="0"/>
    <dataField name="Sum of total_claims" fld="3" baseField="0" baseItem="0" numFmtId="43"/>
    <dataField name="Sum of premium" fld="2" baseField="0" baseItem="0" numFmtId="43"/>
  </dataFields>
  <formats count="1">
    <format dxfId="7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415A6-037F-49D1-9DCE-5ABD7BBF0C59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2:I16" firstHeaderRow="0" firstDataRow="1" firstDataCol="1"/>
  <pivotFields count="5"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  <pivotField showAll="0"/>
    <pivotField dataField="1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premium" fld="2" baseField="0" baseItem="0" numFmtId="43"/>
    <dataField name="Sum of total_claims" fld="1" baseField="0" baseItem="0" numFmtId="43"/>
    <dataField name="Sum of Loss Ratio" fld="4" baseField="0" baseItem="0" numFmtId="164"/>
  </dataFields>
  <formats count="1">
    <format dxfId="2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FC329-1CB1-451F-8E68-D2BB409C16D4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D16" firstHeaderRow="0" firstDataRow="1" firstDataCol="1"/>
  <pivotFields count="5"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  <pivotField showAll="0"/>
    <pivotField dataField="1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premium" fld="2" baseField="0" baseItem="0"/>
    <dataField name="Sum of total_claims" fld="1" baseField="0" baseItem="0"/>
    <dataField name="Sum of Loss Ratio" fld="4" baseField="0" baseItem="0" numFmtId="164"/>
  </dataFields>
  <formats count="2">
    <format dxfId="23">
      <pivotArea outline="0" collapsedLevelsAreSubtotals="1" fieldPosition="0"/>
    </format>
    <format dxfId="22">
      <pivotArea outline="0" fieldPosition="0">
        <references count="1">
          <reference field="4294967294" count="1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87539-85AA-4031-97BC-35D65C25A9BE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24:N28" firstHeaderRow="0" firstDataRow="1" firstDataCol="1"/>
  <pivotFields count="5">
    <pivotField dataField="1" showAll="0"/>
    <pivotField axis="axisRow" showAll="0">
      <items count="4">
        <item sd="0" x="2"/>
        <item sd="0" x="1"/>
        <item sd="0" x="0"/>
        <item t="default"/>
      </items>
    </pivotField>
    <pivotField dataField="1"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1"/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olicy_id" fld="0" subtotal="count" baseField="1" baseItem="0"/>
    <dataField name="Sum of total_claims" fld="3" baseField="0" baseItem="0" numFmtId="43"/>
    <dataField name="Sum of premium" fld="2" baseField="0" baseItem="0" numFmtId="43"/>
  </dataFields>
  <formats count="1">
    <format dxfId="24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50FABB0-9C0D-4872-ABF0-178A1DAF4A9F}" autoFormatId="16" applyNumberFormats="0" applyBorderFormats="0" applyFontFormats="0" applyPatternFormats="0" applyAlignmentFormats="0" applyWidthHeightFormats="0">
  <queryTableRefresh nextId="5">
    <queryTableFields count="4">
      <queryTableField id="1" name="segment" tableColumnId="1"/>
      <queryTableField id="2" name="total_claims" tableColumnId="2"/>
      <queryTableField id="3" name="total_premium" tableColumnId="3"/>
      <queryTableField id="4" name="loss_rati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4E3E3CC-5078-4D9A-8DEC-FE9456FC370B}" autoFormatId="16" applyNumberFormats="0" applyBorderFormats="0" applyFontFormats="0" applyPatternFormats="0" applyAlignmentFormats="0" applyWidthHeightFormats="0">
  <queryTableRefresh nextId="5">
    <queryTableFields count="4">
      <queryTableField id="1" name="premium_band" tableColumnId="1"/>
      <queryTableField id="2" name="total_claims" tableColumnId="2"/>
      <queryTableField id="3" name="total_premium" tableColumnId="3"/>
      <queryTableField id="4" name="loss_rati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03D50A-EEAA-4384-BFB1-145CF3E5C3A5}" autoFormatId="16" applyNumberFormats="0" applyBorderFormats="0" applyFontFormats="0" applyPatternFormats="0" applyAlignmentFormats="0" applyWidthHeightFormats="0">
  <queryTableRefresh nextId="6">
    <queryTableFields count="5">
      <queryTableField id="1" name="policy_id" tableColumnId="1"/>
      <queryTableField id="2" name="segment" tableColumnId="2"/>
      <queryTableField id="3" name="premium" tableColumnId="3"/>
      <queryTableField id="4" name="total_claims" tableColumnId="4"/>
      <queryTableField id="5" name="cas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DF7EB27-B064-443E-A71E-183DC2DF26B9}" autoFormatId="16" applyNumberFormats="0" applyBorderFormats="0" applyFontFormats="0" applyPatternFormats="0" applyAlignmentFormats="0" applyWidthHeightFormats="0">
  <queryTableRefresh nextId="5">
    <queryTableFields count="4">
      <queryTableField id="1" name="segment" tableColumnId="1"/>
      <queryTableField id="2" name="total_claims" tableColumnId="2"/>
      <queryTableField id="3" name="total_premium" tableColumnId="3"/>
      <queryTableField id="4" name="loss_ratio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79B6C73-48A2-4AD6-9C9B-C22A386D21AE}" autoFormatId="16" applyNumberFormats="0" applyBorderFormats="0" applyFontFormats="0" applyPatternFormats="0" applyAlignmentFormats="0" applyWidthHeightFormats="0">
  <queryTableRefresh nextId="5">
    <queryTableFields count="4">
      <queryTableField id="1" name="premium_band" tableColumnId="1"/>
      <queryTableField id="2" name="total_claims" tableColumnId="2"/>
      <queryTableField id="3" name="total_premium" tableColumnId="3"/>
      <queryTableField id="4" name="loss_ratio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08893A4-BADE-4250-83BD-1CCB69B68B47}" autoFormatId="16" applyNumberFormats="0" applyBorderFormats="0" applyFontFormats="0" applyPatternFormats="0" applyAlignmentFormats="0" applyWidthHeightFormats="0">
  <queryTableRefresh nextId="6">
    <queryTableFields count="5">
      <queryTableField id="1" name="policy_id" tableColumnId="1"/>
      <queryTableField id="2" name="segment" tableColumnId="2"/>
      <queryTableField id="3" name="premium" tableColumnId="3"/>
      <queryTableField id="4" name="total_claims" tableColumnId="4"/>
      <queryTableField id="5" name="cas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4FA72D-7357-4760-8689-1D54E0C4D68E}" name="loss_ratio_by_segment" displayName="loss_ratio_by_segment" ref="A1:D4" tableType="queryTable" totalsRowShown="0">
  <autoFilter ref="A1:D4" xr:uid="{B64FA72D-7357-4760-8689-1D54E0C4D68E}"/>
  <sortState xmlns:xlrd2="http://schemas.microsoft.com/office/spreadsheetml/2017/richdata2" ref="A2:D4">
    <sortCondition ref="A1:A4"/>
  </sortState>
  <tableColumns count="4">
    <tableColumn id="1" xr3:uid="{790623B5-F0F5-4D95-9507-B47DDD962EEE}" uniqueName="1" name="segment" queryTableFieldId="1" dataDxfId="12"/>
    <tableColumn id="2" xr3:uid="{CC1477AA-A108-4BAC-B401-E27241352BDE}" uniqueName="2" name="total_claims" queryTableFieldId="2"/>
    <tableColumn id="3" xr3:uid="{07D7F2EA-996C-48E4-BCF5-2EA61CE1458C}" uniqueName="3" name="total_premium" queryTableFieldId="3"/>
    <tableColumn id="4" xr3:uid="{C579234E-ED82-4275-A2F0-87409D88A704}" uniqueName="4" name="loss_ratio" queryTableFieldId="4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B1377-DECC-4451-8CD9-84BD0625BBAC}" name="loss_ratio_by_band" displayName="loss_ratio_by_band" ref="A1:D4" tableType="queryTable" totalsRowShown="0">
  <autoFilter ref="A1:D4" xr:uid="{EECB1377-DECC-4451-8CD9-84BD0625BBAC}"/>
  <tableColumns count="4">
    <tableColumn id="1" xr3:uid="{A02B5396-C897-4FD3-A13B-1C733AE7774B}" uniqueName="1" name="premium_band" queryTableFieldId="1" dataDxfId="9"/>
    <tableColumn id="2" xr3:uid="{2CE1B896-1DCE-46B1-80F5-FFCC9E939AEC}" uniqueName="2" name="total_claims" queryTableFieldId="2"/>
    <tableColumn id="3" xr3:uid="{CE39188F-C7F2-42F4-B424-E784D24C4740}" uniqueName="3" name="total_premium" queryTableFieldId="3"/>
    <tableColumn id="4" xr3:uid="{F1DFAD4D-D68B-46D5-84F9-8362FB4A0798}" uniqueName="4" name="loss_ratio" queryTableFieldId="4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DDFCF1-F285-4FCF-AC49-31E1AF728FCB}" name="high_risk_policies" displayName="high_risk_policies" ref="A1:E16" tableType="queryTable" totalsRowShown="0">
  <autoFilter ref="A1:E16" xr:uid="{BFDDFCF1-F285-4FCF-AC49-31E1AF728FCB}"/>
  <tableColumns count="5">
    <tableColumn id="1" xr3:uid="{DA3ECEB3-D55C-4685-A6C1-0A46AEC3B05A}" uniqueName="1" name="policy_id" queryTableFieldId="1"/>
    <tableColumn id="2" xr3:uid="{ED8E2404-18D5-49AF-8D24-A187E3EB28FF}" uniqueName="2" name="segment" queryTableFieldId="2" dataDxfId="6"/>
    <tableColumn id="3" xr3:uid="{DA689EEC-87F0-45F6-961E-FA3146B4A7C9}" uniqueName="3" name="premium" queryTableFieldId="3"/>
    <tableColumn id="4" xr3:uid="{20030E43-C8ED-4C47-850B-1BE6A0C02BA9}" uniqueName="4" name="total_claims" queryTableFieldId="4"/>
    <tableColumn id="5" xr3:uid="{89074F5D-9B37-4BE8-B3FA-93CECB6AB44A}" uniqueName="5" name="case" queryTableFieldId="5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1AB601-3B72-4D45-912E-AC2C29F67AD9}" name="loss_ratio_by_segment5" displayName="loss_ratio_by_segment5" ref="A7:D10" tableType="queryTable" totalsRowShown="0">
  <autoFilter ref="A7:D10" xr:uid="{E11AB601-3B72-4D45-912E-AC2C29F67AD9}"/>
  <sortState xmlns:xlrd2="http://schemas.microsoft.com/office/spreadsheetml/2017/richdata2" ref="A8:D10">
    <sortCondition ref="A6:A9"/>
  </sortState>
  <tableColumns count="4">
    <tableColumn id="1" xr3:uid="{234FB946-5541-4686-B7DA-0B365E941F70}" uniqueName="1" name="segment" queryTableFieldId="1" dataDxfId="20"/>
    <tableColumn id="2" xr3:uid="{205492DB-DE93-4A8A-B564-6FEA63D01869}" uniqueName="2" name="total_claims" queryTableFieldId="2"/>
    <tableColumn id="3" xr3:uid="{946A01C5-F56D-4094-968B-56DC69D21CB5}" uniqueName="3" name="total_premium" queryTableFieldId="3"/>
    <tableColumn id="4" xr3:uid="{30BB0F84-FA84-496C-BEC0-290289FEFBCC}" uniqueName="4" name="loss_ratio" queryTableFieldId="4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72E6EA-8118-40B6-BAC0-DEDF7EB30DD3}" name="loss_ratio_by_band6" displayName="loss_ratio_by_band6" ref="F7:I10" tableType="queryTable" totalsRowShown="0">
  <autoFilter ref="F7:I10" xr:uid="{2A72E6EA-8118-40B6-BAC0-DEDF7EB30DD3}"/>
  <tableColumns count="4">
    <tableColumn id="1" xr3:uid="{A9F0E4AA-9CF0-419E-BFA8-1335BA16B82E}" uniqueName="1" name="premium_band" queryTableFieldId="1" dataDxfId="18"/>
    <tableColumn id="2" xr3:uid="{8C2F2265-7A7B-436C-A8D7-89AC1CF5EF40}" uniqueName="2" name="total_claims" queryTableFieldId="2"/>
    <tableColumn id="3" xr3:uid="{CD64B381-3E2B-4F11-8D27-37A6D05C649C}" uniqueName="3" name="total_premium" queryTableFieldId="3"/>
    <tableColumn id="4" xr3:uid="{D8E75A15-B78E-45F2-AE82-5A808B855DC8}" uniqueName="4" name="loss_ratio" queryTableFieldId="4" data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549A41-2D80-4E27-BCBB-345E04C9EEDD}" name="high_risk_policies7" displayName="high_risk_policies7" ref="K7:O22" tableType="queryTable" totalsRowShown="0">
  <autoFilter ref="K7:O22" xr:uid="{BE549A41-2D80-4E27-BCBB-345E04C9EEDD}"/>
  <tableColumns count="5">
    <tableColumn id="1" xr3:uid="{1BD74328-B1E4-4F53-9090-00BD48395A76}" uniqueName="1" name="policy_id" queryTableFieldId="1"/>
    <tableColumn id="2" xr3:uid="{06AC9790-9452-4AA8-A363-A82A84C41416}" uniqueName="2" name="segment" queryTableFieldId="2" dataDxfId="16"/>
    <tableColumn id="3" xr3:uid="{E4E6440C-62C9-4DF3-8CD4-AC82DAEDB626}" uniqueName="3" name="premium" queryTableFieldId="3"/>
    <tableColumn id="4" xr3:uid="{60C16977-F8F7-4A2B-9F15-3062B3FD5F5B}" uniqueName="4" name="total_claims" queryTableFieldId="4"/>
    <tableColumn id="5" xr3:uid="{231E82FF-5157-40EE-BB22-0A87BC5AF911}" uniqueName="5" name="case" queryTableFieldId="5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openxmlformats.org/officeDocument/2006/relationships/table" Target="../tables/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7337-C322-42D4-AF10-0F67C5B83E72}">
  <dimension ref="A1:D10"/>
  <sheetViews>
    <sheetView zoomScale="90" zoomScaleNormal="90" workbookViewId="0">
      <selection activeCell="D2" sqref="D2"/>
    </sheetView>
  </sheetViews>
  <sheetFormatPr defaultRowHeight="15" x14ac:dyDescent="0.25"/>
  <cols>
    <col min="1" max="1" width="13.140625" bestFit="1" customWidth="1"/>
    <col min="2" max="2" width="21.140625" bestFit="1" customWidth="1"/>
    <col min="3" max="3" width="18.5703125" bestFit="1" customWidth="1"/>
    <col min="4" max="4" width="16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>
        <v>580</v>
      </c>
      <c r="C2">
        <v>940</v>
      </c>
      <c r="D2" s="4">
        <v>0.61702127659574468</v>
      </c>
    </row>
    <row r="3" spans="1:4" x14ac:dyDescent="0.25">
      <c r="A3" t="s">
        <v>5</v>
      </c>
      <c r="B3">
        <v>2600</v>
      </c>
      <c r="C3">
        <v>2600</v>
      </c>
      <c r="D3" s="4">
        <v>1</v>
      </c>
    </row>
    <row r="4" spans="1:4" x14ac:dyDescent="0.25">
      <c r="A4" t="s">
        <v>4</v>
      </c>
      <c r="B4">
        <v>5300</v>
      </c>
      <c r="C4">
        <v>3400</v>
      </c>
      <c r="D4" s="4">
        <v>1.5588235294117647</v>
      </c>
    </row>
    <row r="6" spans="1:4" x14ac:dyDescent="0.25">
      <c r="A6" s="1" t="s">
        <v>16</v>
      </c>
      <c r="B6" t="s">
        <v>18</v>
      </c>
      <c r="C6" t="s">
        <v>19</v>
      </c>
      <c r="D6" t="s">
        <v>20</v>
      </c>
    </row>
    <row r="7" spans="1:4" x14ac:dyDescent="0.25">
      <c r="A7" s="2" t="s">
        <v>6</v>
      </c>
      <c r="B7" s="3">
        <v>940</v>
      </c>
      <c r="C7" s="3">
        <v>580</v>
      </c>
      <c r="D7" s="4">
        <v>0.61702127659574468</v>
      </c>
    </row>
    <row r="8" spans="1:4" x14ac:dyDescent="0.25">
      <c r="A8" s="2" t="s">
        <v>5</v>
      </c>
      <c r="B8" s="3">
        <v>2600</v>
      </c>
      <c r="C8" s="3">
        <v>2600</v>
      </c>
      <c r="D8" s="4">
        <v>1</v>
      </c>
    </row>
    <row r="9" spans="1:4" x14ac:dyDescent="0.25">
      <c r="A9" s="2" t="s">
        <v>4</v>
      </c>
      <c r="B9" s="3">
        <v>3400</v>
      </c>
      <c r="C9" s="3">
        <v>5300</v>
      </c>
      <c r="D9" s="4">
        <v>1.5588235294117647</v>
      </c>
    </row>
    <row r="10" spans="1:4" x14ac:dyDescent="0.25">
      <c r="A10" s="2" t="s">
        <v>17</v>
      </c>
      <c r="B10" s="3">
        <v>6940</v>
      </c>
      <c r="C10" s="3">
        <v>8480</v>
      </c>
      <c r="D10" s="4">
        <v>1.2219020172910662</v>
      </c>
    </row>
  </sheetData>
  <conditionalFormatting sqref="D3:D4">
    <cfRule type="cellIs" dxfId="4" priority="1" operator="lessThan">
      <formula>1</formula>
    </cfRule>
    <cfRule type="cellIs" dxfId="3" priority="2" operator="greaterThan">
      <formula>1</formula>
    </cfRule>
  </conditionalFormatting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01A0-BDB5-46F1-9C4E-85B6CB804ED7}">
  <dimension ref="A1:D10"/>
  <sheetViews>
    <sheetView workbookViewId="0">
      <selection activeCell="F3" sqref="F3"/>
    </sheetView>
  </sheetViews>
  <sheetFormatPr defaultRowHeight="15" x14ac:dyDescent="0.25"/>
  <cols>
    <col min="1" max="1" width="13.140625" bestFit="1" customWidth="1"/>
    <col min="2" max="2" width="21.140625" bestFit="1" customWidth="1"/>
    <col min="3" max="3" width="18.5703125" bestFit="1" customWidth="1"/>
    <col min="4" max="4" width="16.42578125" bestFit="1" customWidth="1"/>
  </cols>
  <sheetData>
    <row r="1" spans="1:4" x14ac:dyDescent="0.25">
      <c r="A1" t="s">
        <v>7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>
        <v>6200</v>
      </c>
      <c r="C2">
        <v>4000</v>
      </c>
      <c r="D2" s="4">
        <v>1.55</v>
      </c>
    </row>
    <row r="3" spans="1:4" x14ac:dyDescent="0.25">
      <c r="A3" t="s">
        <v>9</v>
      </c>
      <c r="B3">
        <v>1700</v>
      </c>
      <c r="C3">
        <v>2000</v>
      </c>
      <c r="D3" s="4">
        <v>0.85</v>
      </c>
    </row>
    <row r="4" spans="1:4" x14ac:dyDescent="0.25">
      <c r="A4" t="s">
        <v>10</v>
      </c>
      <c r="B4">
        <v>580</v>
      </c>
      <c r="C4">
        <v>940</v>
      </c>
      <c r="D4" s="4">
        <v>0.61702127659574468</v>
      </c>
    </row>
    <row r="6" spans="1:4" x14ac:dyDescent="0.25">
      <c r="A6" s="1" t="s">
        <v>16</v>
      </c>
      <c r="B6" t="s">
        <v>18</v>
      </c>
      <c r="C6" t="s">
        <v>19</v>
      </c>
      <c r="D6" t="s">
        <v>20</v>
      </c>
    </row>
    <row r="7" spans="1:4" x14ac:dyDescent="0.25">
      <c r="A7" s="2" t="s">
        <v>8</v>
      </c>
      <c r="B7" s="3">
        <v>4000</v>
      </c>
      <c r="C7" s="3">
        <v>6200</v>
      </c>
      <c r="D7" s="4">
        <v>1.55</v>
      </c>
    </row>
    <row r="8" spans="1:4" x14ac:dyDescent="0.25">
      <c r="A8" s="2" t="s">
        <v>10</v>
      </c>
      <c r="B8" s="3">
        <v>940</v>
      </c>
      <c r="C8" s="3">
        <v>580</v>
      </c>
      <c r="D8" s="4">
        <v>0.61702127659574468</v>
      </c>
    </row>
    <row r="9" spans="1:4" x14ac:dyDescent="0.25">
      <c r="A9" s="2" t="s">
        <v>9</v>
      </c>
      <c r="B9" s="3">
        <v>2000</v>
      </c>
      <c r="C9" s="3">
        <v>1700</v>
      </c>
      <c r="D9" s="4">
        <v>0.85</v>
      </c>
    </row>
    <row r="10" spans="1:4" x14ac:dyDescent="0.25">
      <c r="A10" s="2" t="s">
        <v>17</v>
      </c>
      <c r="B10" s="3">
        <v>6940</v>
      </c>
      <c r="C10" s="3">
        <v>8480</v>
      </c>
      <c r="D10" s="4">
        <v>1.2219020172910662</v>
      </c>
    </row>
  </sheetData>
  <conditionalFormatting sqref="D2:D4">
    <cfRule type="cellIs" dxfId="2" priority="1" operator="greaterThan">
      <formula>1</formula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406C-16CE-4B74-905E-0E2D358D37D5}">
  <dimension ref="A1:E28"/>
  <sheetViews>
    <sheetView workbookViewId="0">
      <selection activeCell="A24" sqref="A24:F43"/>
    </sheetView>
  </sheetViews>
  <sheetFormatPr defaultRowHeight="15" x14ac:dyDescent="0.25"/>
  <cols>
    <col min="1" max="1" width="13.140625" bestFit="1" customWidth="1"/>
    <col min="2" max="2" width="17.28515625" bestFit="1" customWidth="1"/>
    <col min="3" max="3" width="18.5703125" bestFit="1" customWidth="1"/>
    <col min="4" max="4" width="15.85546875" bestFit="1" customWidth="1"/>
    <col min="5" max="5" width="9" bestFit="1" customWidth="1"/>
    <col min="7" max="7" width="11.28515625" bestFit="1" customWidth="1"/>
    <col min="8" max="8" width="17.28515625" bestFit="1" customWidth="1"/>
  </cols>
  <sheetData>
    <row r="1" spans="1:5" x14ac:dyDescent="0.25">
      <c r="A1" t="s">
        <v>11</v>
      </c>
      <c r="B1" t="s">
        <v>0</v>
      </c>
      <c r="C1" t="s">
        <v>12</v>
      </c>
      <c r="D1" t="s">
        <v>1</v>
      </c>
      <c r="E1" t="s">
        <v>13</v>
      </c>
    </row>
    <row r="2" spans="1:5" x14ac:dyDescent="0.25">
      <c r="A2">
        <v>13</v>
      </c>
      <c r="B2" t="s">
        <v>4</v>
      </c>
      <c r="C2">
        <v>1000</v>
      </c>
      <c r="D2">
        <v>2000</v>
      </c>
      <c r="E2" t="s">
        <v>14</v>
      </c>
    </row>
    <row r="3" spans="1:5" x14ac:dyDescent="0.25">
      <c r="A3">
        <v>9</v>
      </c>
      <c r="B3" t="s">
        <v>4</v>
      </c>
      <c r="C3">
        <v>900</v>
      </c>
      <c r="D3">
        <v>1500</v>
      </c>
      <c r="E3" t="s">
        <v>14</v>
      </c>
    </row>
    <row r="4" spans="1:5" x14ac:dyDescent="0.25">
      <c r="A4">
        <v>5</v>
      </c>
      <c r="B4" t="s">
        <v>4</v>
      </c>
      <c r="C4">
        <v>800</v>
      </c>
      <c r="D4">
        <v>1200</v>
      </c>
      <c r="E4" t="s">
        <v>14</v>
      </c>
    </row>
    <row r="5" spans="1:5" x14ac:dyDescent="0.25">
      <c r="A5">
        <v>4</v>
      </c>
      <c r="B5" t="s">
        <v>5</v>
      </c>
      <c r="C5">
        <v>600</v>
      </c>
      <c r="D5">
        <v>900</v>
      </c>
      <c r="E5" t="s">
        <v>14</v>
      </c>
    </row>
    <row r="6" spans="1:5" x14ac:dyDescent="0.25">
      <c r="A6">
        <v>12</v>
      </c>
      <c r="B6" t="s">
        <v>5</v>
      </c>
      <c r="C6">
        <v>500</v>
      </c>
      <c r="D6">
        <v>700</v>
      </c>
      <c r="E6" t="s">
        <v>14</v>
      </c>
    </row>
    <row r="7" spans="1:5" x14ac:dyDescent="0.25">
      <c r="A7">
        <v>8</v>
      </c>
      <c r="B7" t="s">
        <v>4</v>
      </c>
      <c r="C7">
        <v>700</v>
      </c>
      <c r="D7">
        <v>600</v>
      </c>
      <c r="E7" t="s">
        <v>15</v>
      </c>
    </row>
    <row r="8" spans="1:5" x14ac:dyDescent="0.25">
      <c r="A8">
        <v>7</v>
      </c>
      <c r="B8" t="s">
        <v>5</v>
      </c>
      <c r="C8">
        <v>300</v>
      </c>
      <c r="D8">
        <v>400</v>
      </c>
      <c r="E8" t="s">
        <v>14</v>
      </c>
    </row>
    <row r="9" spans="1:5" x14ac:dyDescent="0.25">
      <c r="A9">
        <v>2</v>
      </c>
      <c r="B9" t="s">
        <v>6</v>
      </c>
      <c r="C9">
        <v>250</v>
      </c>
      <c r="D9">
        <v>300</v>
      </c>
      <c r="E9" t="s">
        <v>14</v>
      </c>
    </row>
    <row r="10" spans="1:5" x14ac:dyDescent="0.25">
      <c r="A10">
        <v>14</v>
      </c>
      <c r="B10" t="s">
        <v>5</v>
      </c>
      <c r="C10">
        <v>450</v>
      </c>
      <c r="D10">
        <v>300</v>
      </c>
      <c r="E10" t="s">
        <v>15</v>
      </c>
    </row>
    <row r="11" spans="1:5" x14ac:dyDescent="0.25">
      <c r="A11">
        <v>11</v>
      </c>
      <c r="B11" t="s">
        <v>5</v>
      </c>
      <c r="C11">
        <v>350</v>
      </c>
      <c r="D11">
        <v>200</v>
      </c>
      <c r="E11" t="s">
        <v>15</v>
      </c>
    </row>
    <row r="12" spans="1:5" x14ac:dyDescent="0.25">
      <c r="A12">
        <v>3</v>
      </c>
      <c r="B12" t="s">
        <v>5</v>
      </c>
      <c r="C12">
        <v>400</v>
      </c>
      <c r="D12">
        <v>100</v>
      </c>
      <c r="E12" t="s">
        <v>15</v>
      </c>
    </row>
    <row r="13" spans="1:5" x14ac:dyDescent="0.25">
      <c r="A13">
        <v>15</v>
      </c>
      <c r="B13" t="s">
        <v>6</v>
      </c>
      <c r="C13">
        <v>220</v>
      </c>
      <c r="D13">
        <v>100</v>
      </c>
      <c r="E13" t="s">
        <v>15</v>
      </c>
    </row>
    <row r="14" spans="1:5" x14ac:dyDescent="0.25">
      <c r="A14">
        <v>6</v>
      </c>
      <c r="B14" t="s">
        <v>6</v>
      </c>
      <c r="C14">
        <v>150</v>
      </c>
      <c r="D14">
        <v>80</v>
      </c>
      <c r="E14" t="s">
        <v>15</v>
      </c>
    </row>
    <row r="15" spans="1:5" x14ac:dyDescent="0.25">
      <c r="A15">
        <v>1</v>
      </c>
      <c r="B15" t="s">
        <v>6</v>
      </c>
      <c r="C15">
        <v>120</v>
      </c>
      <c r="D15">
        <v>50</v>
      </c>
      <c r="E15" t="s">
        <v>15</v>
      </c>
    </row>
    <row r="16" spans="1:5" x14ac:dyDescent="0.25">
      <c r="A16">
        <v>10</v>
      </c>
      <c r="B16" t="s">
        <v>6</v>
      </c>
      <c r="C16">
        <v>200</v>
      </c>
      <c r="D16">
        <v>50</v>
      </c>
      <c r="E16" t="s">
        <v>15</v>
      </c>
    </row>
    <row r="18" spans="1:4" x14ac:dyDescent="0.25">
      <c r="A18" s="1" t="s">
        <v>16</v>
      </c>
      <c r="B18" t="s">
        <v>25</v>
      </c>
      <c r="C18" t="s">
        <v>19</v>
      </c>
      <c r="D18" t="s">
        <v>21</v>
      </c>
    </row>
    <row r="19" spans="1:4" x14ac:dyDescent="0.25">
      <c r="A19" s="2" t="s">
        <v>6</v>
      </c>
      <c r="B19">
        <v>5</v>
      </c>
      <c r="C19" s="3">
        <v>580</v>
      </c>
      <c r="D19" s="3">
        <v>940</v>
      </c>
    </row>
    <row r="20" spans="1:4" x14ac:dyDescent="0.25">
      <c r="A20" s="2" t="s">
        <v>5</v>
      </c>
      <c r="B20">
        <v>6</v>
      </c>
      <c r="C20" s="3">
        <v>2600</v>
      </c>
      <c r="D20" s="3">
        <v>2600</v>
      </c>
    </row>
    <row r="21" spans="1:4" x14ac:dyDescent="0.25">
      <c r="A21" s="2" t="s">
        <v>4</v>
      </c>
      <c r="B21">
        <v>4</v>
      </c>
      <c r="C21" s="3">
        <v>5300</v>
      </c>
      <c r="D21" s="3">
        <v>3400</v>
      </c>
    </row>
    <row r="22" spans="1:4" x14ac:dyDescent="0.25">
      <c r="A22" s="2" t="s">
        <v>17</v>
      </c>
      <c r="B22">
        <v>15</v>
      </c>
      <c r="C22" s="3">
        <v>8480</v>
      </c>
      <c r="D22" s="3">
        <v>6940</v>
      </c>
    </row>
    <row r="24" spans="1:4" x14ac:dyDescent="0.25">
      <c r="A24" s="5" t="s">
        <v>26</v>
      </c>
      <c r="B24" s="5" t="s">
        <v>25</v>
      </c>
    </row>
    <row r="25" spans="1:4" x14ac:dyDescent="0.25">
      <c r="A25" s="6" t="s">
        <v>6</v>
      </c>
      <c r="B25" s="7">
        <v>5</v>
      </c>
    </row>
    <row r="26" spans="1:4" x14ac:dyDescent="0.25">
      <c r="A26" s="6" t="s">
        <v>5</v>
      </c>
      <c r="B26" s="7">
        <v>6</v>
      </c>
    </row>
    <row r="27" spans="1:4" x14ac:dyDescent="0.25">
      <c r="A27" s="6" t="s">
        <v>4</v>
      </c>
      <c r="B27" s="7">
        <v>4</v>
      </c>
    </row>
    <row r="28" spans="1:4" x14ac:dyDescent="0.25">
      <c r="A28" s="8"/>
      <c r="B28" s="9"/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798C-802B-4813-A773-4089730E9457}">
  <dimension ref="A2:O34"/>
  <sheetViews>
    <sheetView tabSelected="1" zoomScale="86" zoomScaleNormal="86" workbookViewId="0">
      <selection activeCell="G4" sqref="G4"/>
    </sheetView>
  </sheetViews>
  <sheetFormatPr defaultRowHeight="15" x14ac:dyDescent="0.25"/>
  <cols>
    <col min="1" max="1" width="13.140625" bestFit="1" customWidth="1"/>
    <col min="2" max="2" width="15" customWidth="1"/>
    <col min="3" max="3" width="16.5703125" customWidth="1"/>
    <col min="4" max="4" width="16.42578125" bestFit="1" customWidth="1"/>
    <col min="6" max="6" width="13.140625" bestFit="1" customWidth="1"/>
    <col min="7" max="7" width="21.140625" bestFit="1" customWidth="1"/>
    <col min="8" max="8" width="18.5703125" bestFit="1" customWidth="1"/>
    <col min="9" max="9" width="16.42578125" bestFit="1" customWidth="1"/>
    <col min="11" max="11" width="13.140625" bestFit="1" customWidth="1"/>
    <col min="12" max="12" width="18" bestFit="1" customWidth="1"/>
    <col min="13" max="13" width="18.5703125" bestFit="1" customWidth="1"/>
    <col min="14" max="14" width="15.85546875" bestFit="1" customWidth="1"/>
  </cols>
  <sheetData>
    <row r="2" spans="1:15" ht="17.25" x14ac:dyDescent="0.3">
      <c r="A2" s="10" t="s">
        <v>27</v>
      </c>
      <c r="B2" s="10"/>
      <c r="C2" s="11">
        <f>GETPIVOTDATA("Sum of total_premium",$F$12)</f>
        <v>6940</v>
      </c>
    </row>
    <row r="3" spans="1:15" ht="17.25" x14ac:dyDescent="0.3">
      <c r="A3" s="10" t="s">
        <v>28</v>
      </c>
      <c r="B3" s="10"/>
      <c r="C3" s="11">
        <f>GETPIVOTDATA("Sum of total_claims",$F$12)</f>
        <v>8480</v>
      </c>
    </row>
    <row r="4" spans="1:15" ht="17.25" x14ac:dyDescent="0.3">
      <c r="A4" s="10" t="s">
        <v>29</v>
      </c>
      <c r="B4" s="10"/>
      <c r="C4" s="12">
        <f>GETPIVOTDATA("Sum of Loss Ratio",$F$12)</f>
        <v>1.2219020172910662</v>
      </c>
    </row>
    <row r="6" spans="1:15" x14ac:dyDescent="0.25">
      <c r="A6" t="s">
        <v>22</v>
      </c>
      <c r="F6" t="s">
        <v>23</v>
      </c>
      <c r="K6" t="s">
        <v>24</v>
      </c>
    </row>
    <row r="7" spans="1:15" x14ac:dyDescent="0.25">
      <c r="A7" t="s">
        <v>0</v>
      </c>
      <c r="B7" t="s">
        <v>1</v>
      </c>
      <c r="C7" t="s">
        <v>2</v>
      </c>
      <c r="D7" t="s">
        <v>3</v>
      </c>
      <c r="F7" t="s">
        <v>7</v>
      </c>
      <c r="G7" t="s">
        <v>1</v>
      </c>
      <c r="H7" t="s">
        <v>2</v>
      </c>
      <c r="I7" t="s">
        <v>3</v>
      </c>
      <c r="K7" t="s">
        <v>11</v>
      </c>
      <c r="L7" t="s">
        <v>0</v>
      </c>
      <c r="M7" t="s">
        <v>12</v>
      </c>
      <c r="N7" t="s">
        <v>1</v>
      </c>
      <c r="O7" t="s">
        <v>13</v>
      </c>
    </row>
    <row r="8" spans="1:15" x14ac:dyDescent="0.25">
      <c r="A8" t="s">
        <v>6</v>
      </c>
      <c r="B8">
        <v>580</v>
      </c>
      <c r="C8">
        <v>940</v>
      </c>
      <c r="D8" s="4">
        <v>0.61702127659574468</v>
      </c>
      <c r="F8" t="s">
        <v>8</v>
      </c>
      <c r="G8">
        <v>6200</v>
      </c>
      <c r="H8">
        <v>4000</v>
      </c>
      <c r="I8" s="4">
        <v>1.55</v>
      </c>
      <c r="K8">
        <v>13</v>
      </c>
      <c r="L8" t="s">
        <v>4</v>
      </c>
      <c r="M8">
        <v>1000</v>
      </c>
      <c r="N8">
        <v>2000</v>
      </c>
      <c r="O8" t="s">
        <v>14</v>
      </c>
    </row>
    <row r="9" spans="1:15" x14ac:dyDescent="0.25">
      <c r="A9" t="s">
        <v>5</v>
      </c>
      <c r="B9">
        <v>2600</v>
      </c>
      <c r="C9">
        <v>2600</v>
      </c>
      <c r="D9" s="4">
        <v>1</v>
      </c>
      <c r="F9" t="s">
        <v>9</v>
      </c>
      <c r="G9">
        <v>1700</v>
      </c>
      <c r="H9">
        <v>2000</v>
      </c>
      <c r="I9" s="4">
        <v>0.85</v>
      </c>
      <c r="K9">
        <v>9</v>
      </c>
      <c r="L9" t="s">
        <v>4</v>
      </c>
      <c r="M9">
        <v>900</v>
      </c>
      <c r="N9">
        <v>1500</v>
      </c>
      <c r="O9" t="s">
        <v>14</v>
      </c>
    </row>
    <row r="10" spans="1:15" x14ac:dyDescent="0.25">
      <c r="A10" t="s">
        <v>4</v>
      </c>
      <c r="B10">
        <v>5300</v>
      </c>
      <c r="C10">
        <v>3400</v>
      </c>
      <c r="D10" s="4">
        <v>1.5588235294117647</v>
      </c>
      <c r="F10" t="s">
        <v>10</v>
      </c>
      <c r="G10">
        <v>580</v>
      </c>
      <c r="H10">
        <v>940</v>
      </c>
      <c r="I10" s="4">
        <v>0.61702127659574468</v>
      </c>
      <c r="K10">
        <v>5</v>
      </c>
      <c r="L10" t="s">
        <v>4</v>
      </c>
      <c r="M10">
        <v>800</v>
      </c>
      <c r="N10">
        <v>1200</v>
      </c>
      <c r="O10" t="s">
        <v>14</v>
      </c>
    </row>
    <row r="11" spans="1:15" x14ac:dyDescent="0.25">
      <c r="K11">
        <v>4</v>
      </c>
      <c r="L11" t="s">
        <v>5</v>
      </c>
      <c r="M11">
        <v>600</v>
      </c>
      <c r="N11">
        <v>900</v>
      </c>
      <c r="O11" t="s">
        <v>14</v>
      </c>
    </row>
    <row r="12" spans="1:15" x14ac:dyDescent="0.25">
      <c r="A12" s="1" t="s">
        <v>16</v>
      </c>
      <c r="B12" s="1" t="s">
        <v>18</v>
      </c>
      <c r="C12" t="s">
        <v>19</v>
      </c>
      <c r="D12" t="s">
        <v>20</v>
      </c>
      <c r="F12" s="1" t="s">
        <v>16</v>
      </c>
      <c r="G12" s="1" t="s">
        <v>18</v>
      </c>
      <c r="H12" t="s">
        <v>19</v>
      </c>
      <c r="I12" t="s">
        <v>20</v>
      </c>
      <c r="K12">
        <v>12</v>
      </c>
      <c r="L12" t="s">
        <v>5</v>
      </c>
      <c r="M12">
        <v>500</v>
      </c>
      <c r="N12">
        <v>700</v>
      </c>
      <c r="O12" t="s">
        <v>14</v>
      </c>
    </row>
    <row r="13" spans="1:15" x14ac:dyDescent="0.25">
      <c r="A13" s="2" t="s">
        <v>6</v>
      </c>
      <c r="B13" s="3">
        <v>940</v>
      </c>
      <c r="C13" s="3">
        <v>580</v>
      </c>
      <c r="D13" s="4">
        <v>0.61702127659574468</v>
      </c>
      <c r="F13" s="2" t="s">
        <v>8</v>
      </c>
      <c r="G13" s="3">
        <v>4000</v>
      </c>
      <c r="H13" s="3">
        <v>6200</v>
      </c>
      <c r="I13" s="4">
        <v>1.55</v>
      </c>
      <c r="K13">
        <v>8</v>
      </c>
      <c r="L13" t="s">
        <v>4</v>
      </c>
      <c r="M13">
        <v>700</v>
      </c>
      <c r="N13">
        <v>600</v>
      </c>
      <c r="O13" t="s">
        <v>15</v>
      </c>
    </row>
    <row r="14" spans="1:15" x14ac:dyDescent="0.25">
      <c r="A14" s="2" t="s">
        <v>5</v>
      </c>
      <c r="B14" s="3">
        <v>2600</v>
      </c>
      <c r="C14" s="3">
        <v>2600</v>
      </c>
      <c r="D14" s="4">
        <v>1</v>
      </c>
      <c r="F14" s="2" t="s">
        <v>10</v>
      </c>
      <c r="G14" s="3">
        <v>940</v>
      </c>
      <c r="H14" s="3">
        <v>580</v>
      </c>
      <c r="I14" s="4">
        <v>0.61702127659574468</v>
      </c>
      <c r="K14">
        <v>7</v>
      </c>
      <c r="L14" t="s">
        <v>5</v>
      </c>
      <c r="M14">
        <v>300</v>
      </c>
      <c r="N14">
        <v>400</v>
      </c>
      <c r="O14" t="s">
        <v>14</v>
      </c>
    </row>
    <row r="15" spans="1:15" x14ac:dyDescent="0.25">
      <c r="A15" s="2" t="s">
        <v>4</v>
      </c>
      <c r="B15" s="3">
        <v>3400</v>
      </c>
      <c r="C15" s="3">
        <v>5300</v>
      </c>
      <c r="D15" s="4">
        <v>1.5588235294117647</v>
      </c>
      <c r="F15" s="2" t="s">
        <v>9</v>
      </c>
      <c r="G15" s="3">
        <v>2000</v>
      </c>
      <c r="H15" s="3">
        <v>1700</v>
      </c>
      <c r="I15" s="4">
        <v>0.85</v>
      </c>
      <c r="K15">
        <v>2</v>
      </c>
      <c r="L15" t="s">
        <v>6</v>
      </c>
      <c r="M15">
        <v>250</v>
      </c>
      <c r="N15">
        <v>300</v>
      </c>
      <c r="O15" t="s">
        <v>14</v>
      </c>
    </row>
    <row r="16" spans="1:15" x14ac:dyDescent="0.25">
      <c r="A16" s="2" t="s">
        <v>17</v>
      </c>
      <c r="B16" s="3">
        <v>6940</v>
      </c>
      <c r="C16" s="3">
        <v>8480</v>
      </c>
      <c r="D16" s="4">
        <v>1.2219020172910662</v>
      </c>
      <c r="F16" s="2" t="s">
        <v>17</v>
      </c>
      <c r="G16" s="3">
        <v>6940</v>
      </c>
      <c r="H16" s="3">
        <v>8480</v>
      </c>
      <c r="I16" s="4">
        <v>1.2219020172910662</v>
      </c>
      <c r="K16">
        <v>14</v>
      </c>
      <c r="L16" t="s">
        <v>5</v>
      </c>
      <c r="M16">
        <v>450</v>
      </c>
      <c r="N16">
        <v>300</v>
      </c>
      <c r="O16" t="s">
        <v>15</v>
      </c>
    </row>
    <row r="17" spans="11:15" x14ac:dyDescent="0.25">
      <c r="K17">
        <v>11</v>
      </c>
      <c r="L17" t="s">
        <v>5</v>
      </c>
      <c r="M17">
        <v>350</v>
      </c>
      <c r="N17">
        <v>200</v>
      </c>
      <c r="O17" t="s">
        <v>15</v>
      </c>
    </row>
    <row r="18" spans="11:15" x14ac:dyDescent="0.25">
      <c r="K18">
        <v>3</v>
      </c>
      <c r="L18" t="s">
        <v>5</v>
      </c>
      <c r="M18">
        <v>400</v>
      </c>
      <c r="N18">
        <v>100</v>
      </c>
      <c r="O18" t="s">
        <v>15</v>
      </c>
    </row>
    <row r="19" spans="11:15" x14ac:dyDescent="0.25">
      <c r="K19">
        <v>15</v>
      </c>
      <c r="L19" t="s">
        <v>6</v>
      </c>
      <c r="M19">
        <v>220</v>
      </c>
      <c r="N19">
        <v>100</v>
      </c>
      <c r="O19" t="s">
        <v>15</v>
      </c>
    </row>
    <row r="20" spans="11:15" x14ac:dyDescent="0.25">
      <c r="K20">
        <v>6</v>
      </c>
      <c r="L20" t="s">
        <v>6</v>
      </c>
      <c r="M20">
        <v>150</v>
      </c>
      <c r="N20">
        <v>80</v>
      </c>
      <c r="O20" t="s">
        <v>15</v>
      </c>
    </row>
    <row r="21" spans="11:15" x14ac:dyDescent="0.25">
      <c r="K21">
        <v>1</v>
      </c>
      <c r="L21" t="s">
        <v>6</v>
      </c>
      <c r="M21">
        <v>120</v>
      </c>
      <c r="N21">
        <v>50</v>
      </c>
      <c r="O21" t="s">
        <v>15</v>
      </c>
    </row>
    <row r="22" spans="11:15" x14ac:dyDescent="0.25">
      <c r="K22">
        <v>10</v>
      </c>
      <c r="L22" t="s">
        <v>6</v>
      </c>
      <c r="M22">
        <v>200</v>
      </c>
      <c r="N22">
        <v>50</v>
      </c>
      <c r="O22" t="s">
        <v>15</v>
      </c>
    </row>
    <row r="24" spans="11:15" x14ac:dyDescent="0.25">
      <c r="K24" s="1" t="s">
        <v>16</v>
      </c>
      <c r="L24" s="1" t="s">
        <v>25</v>
      </c>
      <c r="M24" t="s">
        <v>19</v>
      </c>
      <c r="N24" t="s">
        <v>21</v>
      </c>
    </row>
    <row r="25" spans="11:15" x14ac:dyDescent="0.25">
      <c r="K25" s="2" t="s">
        <v>6</v>
      </c>
      <c r="L25">
        <v>5</v>
      </c>
      <c r="M25" s="3">
        <v>580</v>
      </c>
      <c r="N25" s="3">
        <v>940</v>
      </c>
    </row>
    <row r="26" spans="11:15" x14ac:dyDescent="0.25">
      <c r="K26" s="2" t="s">
        <v>5</v>
      </c>
      <c r="L26">
        <v>6</v>
      </c>
      <c r="M26" s="3">
        <v>2600</v>
      </c>
      <c r="N26" s="3">
        <v>2600</v>
      </c>
    </row>
    <row r="27" spans="11:15" x14ac:dyDescent="0.25">
      <c r="K27" s="2" t="s">
        <v>4</v>
      </c>
      <c r="L27">
        <v>4</v>
      </c>
      <c r="M27" s="3">
        <v>5300</v>
      </c>
      <c r="N27" s="3">
        <v>3400</v>
      </c>
    </row>
    <row r="28" spans="11:15" x14ac:dyDescent="0.25">
      <c r="K28" s="2" t="s">
        <v>17</v>
      </c>
      <c r="L28">
        <v>15</v>
      </c>
      <c r="M28" s="3">
        <v>8480</v>
      </c>
      <c r="N28" s="3">
        <v>6940</v>
      </c>
    </row>
    <row r="30" spans="11:15" x14ac:dyDescent="0.25">
      <c r="K30" s="5" t="s">
        <v>26</v>
      </c>
      <c r="L30" s="5" t="s">
        <v>25</v>
      </c>
    </row>
    <row r="31" spans="11:15" x14ac:dyDescent="0.25">
      <c r="K31" s="6" t="s">
        <v>6</v>
      </c>
      <c r="L31" s="7">
        <v>5</v>
      </c>
    </row>
    <row r="32" spans="11:15" x14ac:dyDescent="0.25">
      <c r="K32" s="6" t="s">
        <v>5</v>
      </c>
      <c r="L32" s="7">
        <v>6</v>
      </c>
    </row>
    <row r="33" spans="11:12" x14ac:dyDescent="0.25">
      <c r="K33" s="6" t="s">
        <v>4</v>
      </c>
      <c r="L33" s="7">
        <v>4</v>
      </c>
    </row>
    <row r="34" spans="11:12" x14ac:dyDescent="0.25">
      <c r="K34" s="8"/>
      <c r="L34" s="9"/>
    </row>
  </sheetData>
  <mergeCells count="3">
    <mergeCell ref="A2:B2"/>
    <mergeCell ref="A3:B3"/>
    <mergeCell ref="A4:B4"/>
  </mergeCells>
  <conditionalFormatting sqref="D8:D10">
    <cfRule type="cellIs" dxfId="1" priority="2" operator="greaterThan">
      <formula>1</formula>
    </cfRule>
  </conditionalFormatting>
  <conditionalFormatting sqref="I8:I10">
    <cfRule type="cellIs" dxfId="0" priority="1" operator="greaterThan">
      <formula>1</formula>
    </cfRule>
  </conditionalFormatting>
  <pageMargins left="0.7" right="0.7" top="0.75" bottom="0.75" header="0.3" footer="0.3"/>
  <drawing r:id="rId4"/>
  <tableParts count="3"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2E617-4CC6-4AB0-BB2B-956EB287E5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loss_ratio_by_segment</vt:lpstr>
      <vt:lpstr>loss_ratio_by_band</vt:lpstr>
      <vt:lpstr>high_risk_policies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Bamburska</dc:creator>
  <cp:lastModifiedBy>Katarzyna Bamburska</cp:lastModifiedBy>
  <dcterms:created xsi:type="dcterms:W3CDTF">2026-04-05T17:56:17Z</dcterms:created>
  <dcterms:modified xsi:type="dcterms:W3CDTF">2026-04-14T04:58:29Z</dcterms:modified>
</cp:coreProperties>
</file>